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ceu365-my.sharepoint.com/personal/a_nava1_usp_ceu_es/Documents/Escritorio/Ingenieria Biomedica/2024-25/TFG/htk_files/results/"/>
    </mc:Choice>
  </mc:AlternateContent>
  <xr:revisionPtr revIDLastSave="217" documentId="8_{317C9FEF-126D-493F-8A14-A6219D7E0CDA}" xr6:coauthVersionLast="47" xr6:coauthVersionMax="47" xr10:uidLastSave="{64A360B6-CC86-41AD-BCEB-1EC70E24CDB5}"/>
  <bookViews>
    <workbookView xWindow="11472" yWindow="0" windowWidth="11664" windowHeight="12336" firstSheet="7" activeTab="9" xr2:uid="{DDCEC9E0-C482-4511-937D-F38C14432D00}"/>
  </bookViews>
  <sheets>
    <sheet name="Group_01" sheetId="1" r:id="rId1"/>
    <sheet name="Group_02" sheetId="2" r:id="rId2"/>
    <sheet name="Group_03" sheetId="3" r:id="rId3"/>
    <sheet name="Group_04" sheetId="4" r:id="rId4"/>
    <sheet name="Group_05" sheetId="5" r:id="rId5"/>
    <sheet name="Group_06" sheetId="6" r:id="rId6"/>
    <sheet name="Group_07" sheetId="7" r:id="rId7"/>
    <sheet name="Group_8" sheetId="8" r:id="rId8"/>
    <sheet name="Group_09" sheetId="9" r:id="rId9"/>
    <sheet name="Group_10" sheetId="10" r:id="rId1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J2" i="10" l="1"/>
  <c r="Q3" i="9"/>
  <c r="Q4" i="9"/>
  <c r="Q5" i="9"/>
  <c r="Q2" i="9"/>
  <c r="C5" i="9"/>
  <c r="D5" i="9"/>
  <c r="E5" i="9"/>
  <c r="F5" i="9"/>
  <c r="G5" i="9"/>
  <c r="H5" i="9"/>
  <c r="I5" i="9"/>
  <c r="J5" i="9"/>
  <c r="K5" i="9"/>
  <c r="L5" i="9"/>
  <c r="M5" i="9"/>
  <c r="N5" i="9"/>
  <c r="O5" i="9"/>
  <c r="P5" i="9"/>
  <c r="B5" i="9"/>
  <c r="Q2" i="8"/>
  <c r="I2" i="7"/>
  <c r="G3" i="6"/>
  <c r="G4" i="6"/>
  <c r="G5" i="6"/>
  <c r="G2" i="6"/>
  <c r="C5" i="6"/>
  <c r="D5" i="6"/>
  <c r="E5" i="6"/>
  <c r="F5" i="6"/>
  <c r="B5" i="6"/>
  <c r="Q3" i="5"/>
  <c r="Q4" i="5"/>
  <c r="Q5" i="5"/>
  <c r="Q2" i="5"/>
  <c r="C5" i="5"/>
  <c r="D5" i="5"/>
  <c r="E5" i="5"/>
  <c r="F5" i="5"/>
  <c r="G5" i="5"/>
  <c r="H5" i="5"/>
  <c r="I5" i="5"/>
  <c r="J5" i="5"/>
  <c r="K5" i="5"/>
  <c r="L5" i="5"/>
  <c r="M5" i="5"/>
  <c r="N5" i="5"/>
  <c r="O5" i="5"/>
  <c r="P5" i="5"/>
  <c r="B5" i="5"/>
  <c r="Q2" i="4"/>
  <c r="C5" i="3"/>
  <c r="D5" i="3"/>
  <c r="Q5" i="3" s="1"/>
  <c r="E5" i="3"/>
  <c r="F5" i="3"/>
  <c r="G5" i="3"/>
  <c r="H5" i="3"/>
  <c r="I5" i="3"/>
  <c r="J5" i="3"/>
  <c r="K5" i="3"/>
  <c r="L5" i="3"/>
  <c r="M5" i="3"/>
  <c r="N5" i="3"/>
  <c r="O5" i="3"/>
  <c r="P5" i="3"/>
  <c r="B5" i="3"/>
  <c r="Q3" i="3"/>
  <c r="Q4" i="3"/>
  <c r="Q2" i="3"/>
  <c r="K2" i="2"/>
  <c r="K2" i="1"/>
  <c r="K2" i="10"/>
  <c r="P6" i="9"/>
  <c r="O6" i="9"/>
  <c r="N6" i="9"/>
  <c r="M6" i="9"/>
  <c r="L6" i="9"/>
  <c r="K6" i="9"/>
  <c r="J6" i="9"/>
  <c r="I6" i="9"/>
  <c r="H6" i="9"/>
  <c r="G6" i="9"/>
  <c r="F6" i="9"/>
  <c r="E6" i="9"/>
  <c r="D6" i="9"/>
  <c r="C6" i="9"/>
  <c r="B6" i="9"/>
  <c r="R4" i="9"/>
  <c r="R3" i="9"/>
  <c r="R2" i="9"/>
  <c r="R2" i="8"/>
  <c r="J2" i="7"/>
  <c r="C6" i="6"/>
  <c r="D6" i="6"/>
  <c r="E6" i="6"/>
  <c r="F6" i="6"/>
  <c r="H3" i="6"/>
  <c r="H4" i="6"/>
  <c r="H2" i="6"/>
  <c r="B6" i="6"/>
  <c r="P6" i="5"/>
  <c r="O6" i="5"/>
  <c r="N6" i="5"/>
  <c r="M6" i="5"/>
  <c r="L6" i="5"/>
  <c r="K6" i="5"/>
  <c r="J6" i="5"/>
  <c r="I6" i="5"/>
  <c r="H6" i="5"/>
  <c r="G6" i="5"/>
  <c r="F6" i="5"/>
  <c r="E6" i="5"/>
  <c r="D6" i="5"/>
  <c r="C6" i="5"/>
  <c r="B6" i="5"/>
  <c r="R4" i="5"/>
  <c r="R3" i="5"/>
  <c r="R2" i="5"/>
  <c r="R2" i="4"/>
  <c r="C6" i="3"/>
  <c r="D6" i="3"/>
  <c r="E6" i="3"/>
  <c r="F6" i="3"/>
  <c r="G6" i="3"/>
  <c r="H6" i="3"/>
  <c r="I6" i="3"/>
  <c r="J6" i="3"/>
  <c r="K6" i="3"/>
  <c r="L6" i="3"/>
  <c r="M6" i="3"/>
  <c r="N6" i="3"/>
  <c r="O6" i="3"/>
  <c r="P6" i="3"/>
  <c r="R6" i="3"/>
  <c r="B6" i="3"/>
  <c r="R3" i="3"/>
  <c r="R4" i="3"/>
  <c r="R2" i="3"/>
  <c r="L2" i="2"/>
  <c r="L2" i="1"/>
  <c r="R6" i="9" l="1"/>
  <c r="H6" i="6"/>
  <c r="R6" i="5"/>
</calcChain>
</file>

<file path=xl/sharedStrings.xml><?xml version="1.0" encoding="utf-8"?>
<sst xmlns="http://schemas.openxmlformats.org/spreadsheetml/2006/main" count="159" uniqueCount="22">
  <si>
    <t>1 gaussian</t>
  </si>
  <si>
    <t>2 gaussians</t>
  </si>
  <si>
    <t>3 gaussians</t>
  </si>
  <si>
    <t>4 gaussians</t>
  </si>
  <si>
    <t>5 gaussians</t>
  </si>
  <si>
    <t>6 gaussians</t>
  </si>
  <si>
    <t>7 gaussians</t>
  </si>
  <si>
    <t>8 gaussians</t>
  </si>
  <si>
    <t>9 gaussians</t>
  </si>
  <si>
    <t>mean</t>
  </si>
  <si>
    <t>10 gaussians</t>
  </si>
  <si>
    <t>11 gaussians</t>
  </si>
  <si>
    <t>12 gaussians</t>
  </si>
  <si>
    <t>13 gaussians</t>
  </si>
  <si>
    <t>14 gaussians</t>
  </si>
  <si>
    <t>15 gaussians</t>
  </si>
  <si>
    <t>5 states</t>
  </si>
  <si>
    <t>3 states</t>
  </si>
  <si>
    <t>4 states</t>
  </si>
  <si>
    <t>6 states</t>
  </si>
  <si>
    <t>7 states</t>
  </si>
  <si>
    <t>max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</si>
</sst>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5C4DBF-87F4-4AD6-8C30-4C774D111DF8}">
  <dimension ref="A1:L2"/>
  <sheetViews>
    <sheetView topLeftCell="E1" workbookViewId="0">
      <selection activeCell="K3" sqref="K3"/>
    </sheetView>
  </sheetViews>
  <sheetFormatPr baseColWidth="10" defaultRowHeight="14.4" x14ac:dyDescent="0.3"/>
  <sheetData>
    <row r="1" spans="1:12" x14ac:dyDescent="0.3"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21</v>
      </c>
    </row>
    <row r="2" spans="1:12" x14ac:dyDescent="0.3">
      <c r="A2" s="1" t="s">
        <v>18</v>
      </c>
      <c r="B2">
        <v>46.15</v>
      </c>
      <c r="C2">
        <v>53.85</v>
      </c>
      <c r="D2">
        <v>38.46</v>
      </c>
      <c r="E2">
        <v>43.59</v>
      </c>
      <c r="F2">
        <v>53.85</v>
      </c>
      <c r="G2">
        <v>53.85</v>
      </c>
      <c r="H2">
        <v>53.85</v>
      </c>
      <c r="I2">
        <v>46.15</v>
      </c>
      <c r="J2">
        <v>46.15</v>
      </c>
      <c r="K2">
        <f>ROUND(AVERAGE(B2:J2),2)</f>
        <v>48.43</v>
      </c>
      <c r="L2">
        <f>MAX(B2:J2)</f>
        <v>53.85</v>
      </c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CFFE23-CAD4-4260-A7B3-A1E6EEFBF732}">
  <dimension ref="A1:L2"/>
  <sheetViews>
    <sheetView topLeftCell="H1" workbookViewId="0">
      <selection activeCell="K3" sqref="K3"/>
    </sheetView>
  </sheetViews>
  <sheetFormatPr baseColWidth="10" defaultRowHeight="14.4" x14ac:dyDescent="0.3"/>
  <sheetData>
    <row r="1" spans="1:12" x14ac:dyDescent="0.3"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21</v>
      </c>
    </row>
    <row r="2" spans="1:12" x14ac:dyDescent="0.3">
      <c r="A2" s="1" t="s">
        <v>17</v>
      </c>
      <c r="B2">
        <v>51.28</v>
      </c>
      <c r="C2">
        <v>61.54</v>
      </c>
      <c r="D2">
        <v>51.28</v>
      </c>
      <c r="E2">
        <v>53.85</v>
      </c>
      <c r="F2">
        <v>53.85</v>
      </c>
      <c r="G2">
        <v>51.28</v>
      </c>
      <c r="H2">
        <v>51.28</v>
      </c>
      <c r="I2">
        <v>51.28</v>
      </c>
      <c r="J2">
        <v>61.54</v>
      </c>
      <c r="K2">
        <f>ROUND(AVERAGE(B2:J2),2)</f>
        <v>54.13</v>
      </c>
      <c r="L2">
        <f>MAX(B2:J2)</f>
        <v>61.54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D549CB-D2DD-4D1D-90DB-ABD447B14611}">
  <dimension ref="A1:R6"/>
  <sheetViews>
    <sheetView workbookViewId="0">
      <selection activeCell="A5" sqref="A5"/>
    </sheetView>
  </sheetViews>
  <sheetFormatPr baseColWidth="10" defaultRowHeight="14.4" x14ac:dyDescent="0.3"/>
  <sheetData>
    <row r="1" spans="1:18" x14ac:dyDescent="0.3"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9</v>
      </c>
      <c r="R1" s="1" t="s">
        <v>21</v>
      </c>
    </row>
    <row r="2" spans="1:18" x14ac:dyDescent="0.3">
      <c r="A2" s="1" t="s">
        <v>16</v>
      </c>
      <c r="B2">
        <v>48.72</v>
      </c>
      <c r="C2">
        <v>53.85</v>
      </c>
      <c r="D2">
        <v>58.97</v>
      </c>
      <c r="E2">
        <v>56.41</v>
      </c>
      <c r="F2">
        <v>51.28</v>
      </c>
      <c r="G2">
        <v>51.28</v>
      </c>
      <c r="H2">
        <v>53.85</v>
      </c>
      <c r="I2">
        <v>51.28</v>
      </c>
      <c r="J2">
        <v>53.85</v>
      </c>
      <c r="K2">
        <v>53.85</v>
      </c>
      <c r="L2">
        <v>56.41</v>
      </c>
      <c r="M2">
        <v>58.97</v>
      </c>
      <c r="N2">
        <v>58.97</v>
      </c>
      <c r="O2">
        <v>61.54</v>
      </c>
      <c r="P2">
        <v>58.97</v>
      </c>
      <c r="Q2">
        <f>ROUND(AVERAGE(B2:P2),2)</f>
        <v>55.21</v>
      </c>
      <c r="R2">
        <f>MAX(B2:P2)</f>
        <v>61.54</v>
      </c>
    </row>
    <row r="3" spans="1:18" x14ac:dyDescent="0.3">
      <c r="A3" s="1" t="s">
        <v>19</v>
      </c>
      <c r="B3">
        <v>53.85</v>
      </c>
      <c r="C3">
        <v>56.41</v>
      </c>
      <c r="D3">
        <v>48.72</v>
      </c>
      <c r="E3">
        <v>56.41</v>
      </c>
      <c r="F3">
        <v>58.97</v>
      </c>
      <c r="G3">
        <v>64.099999999999994</v>
      </c>
      <c r="H3">
        <v>58.97</v>
      </c>
      <c r="I3">
        <v>56.41</v>
      </c>
      <c r="J3">
        <v>53.85</v>
      </c>
      <c r="K3">
        <v>58.97</v>
      </c>
      <c r="L3">
        <v>53.85</v>
      </c>
      <c r="M3">
        <v>56.41</v>
      </c>
      <c r="N3">
        <v>56.41</v>
      </c>
      <c r="O3">
        <v>56.41</v>
      </c>
      <c r="P3">
        <v>56.41</v>
      </c>
      <c r="Q3">
        <f t="shared" ref="Q3:Q5" si="0">ROUND(AVERAGE(B3:P3),2)</f>
        <v>56.41</v>
      </c>
      <c r="R3">
        <f t="shared" ref="R3:R5" si="1">MAX(B3:P3)</f>
        <v>64.099999999999994</v>
      </c>
    </row>
    <row r="4" spans="1:18" x14ac:dyDescent="0.3">
      <c r="A4" s="1" t="s">
        <v>20</v>
      </c>
      <c r="B4">
        <v>51.28</v>
      </c>
      <c r="C4">
        <v>56.41</v>
      </c>
      <c r="D4">
        <v>51.28</v>
      </c>
      <c r="E4">
        <v>51.28</v>
      </c>
      <c r="F4">
        <v>56.41</v>
      </c>
      <c r="G4">
        <v>56.41</v>
      </c>
      <c r="H4">
        <v>53.85</v>
      </c>
      <c r="I4">
        <v>51.28</v>
      </c>
      <c r="J4">
        <v>56.41</v>
      </c>
      <c r="K4">
        <v>61.54</v>
      </c>
      <c r="L4">
        <v>56.41</v>
      </c>
      <c r="M4">
        <v>53.85</v>
      </c>
      <c r="N4">
        <v>56.41</v>
      </c>
      <c r="O4">
        <v>56.41</v>
      </c>
      <c r="P4">
        <v>58.97</v>
      </c>
      <c r="Q4">
        <f t="shared" si="0"/>
        <v>55.21</v>
      </c>
      <c r="R4">
        <f t="shared" si="1"/>
        <v>61.54</v>
      </c>
    </row>
    <row r="5" spans="1:18" x14ac:dyDescent="0.3">
      <c r="A5" s="1" t="s">
        <v>9</v>
      </c>
      <c r="B5">
        <f>ROUND(AVERAGE(B2:B4),2)</f>
        <v>51.28</v>
      </c>
      <c r="C5">
        <f t="shared" ref="C5:P5" si="2">ROUND(AVERAGE(C2:C4),2)</f>
        <v>55.56</v>
      </c>
      <c r="D5">
        <f t="shared" si="2"/>
        <v>52.99</v>
      </c>
      <c r="E5">
        <f t="shared" si="2"/>
        <v>54.7</v>
      </c>
      <c r="F5">
        <f t="shared" si="2"/>
        <v>55.55</v>
      </c>
      <c r="G5">
        <f t="shared" si="2"/>
        <v>57.26</v>
      </c>
      <c r="H5">
        <f t="shared" si="2"/>
        <v>55.56</v>
      </c>
      <c r="I5">
        <f t="shared" si="2"/>
        <v>52.99</v>
      </c>
      <c r="J5">
        <f t="shared" si="2"/>
        <v>54.7</v>
      </c>
      <c r="K5">
        <f t="shared" si="2"/>
        <v>58.12</v>
      </c>
      <c r="L5">
        <f t="shared" si="2"/>
        <v>55.56</v>
      </c>
      <c r="M5">
        <f t="shared" si="2"/>
        <v>56.41</v>
      </c>
      <c r="N5">
        <f t="shared" si="2"/>
        <v>57.26</v>
      </c>
      <c r="O5">
        <f t="shared" si="2"/>
        <v>58.12</v>
      </c>
      <c r="P5">
        <f t="shared" si="2"/>
        <v>58.12</v>
      </c>
      <c r="Q5">
        <f t="shared" si="0"/>
        <v>55.61</v>
      </c>
    </row>
    <row r="6" spans="1:18" x14ac:dyDescent="0.3">
      <c r="A6" s="1" t="s">
        <v>21</v>
      </c>
      <c r="B6">
        <f>MAX(B2:B4)</f>
        <v>53.85</v>
      </c>
      <c r="C6">
        <f t="shared" ref="C6:R6" si="3">MAX(C2:C4)</f>
        <v>56.41</v>
      </c>
      <c r="D6">
        <f t="shared" si="3"/>
        <v>58.97</v>
      </c>
      <c r="E6">
        <f t="shared" si="3"/>
        <v>56.41</v>
      </c>
      <c r="F6">
        <f t="shared" si="3"/>
        <v>58.97</v>
      </c>
      <c r="G6">
        <f t="shared" si="3"/>
        <v>64.099999999999994</v>
      </c>
      <c r="H6">
        <f t="shared" si="3"/>
        <v>58.97</v>
      </c>
      <c r="I6">
        <f t="shared" si="3"/>
        <v>56.41</v>
      </c>
      <c r="J6">
        <f t="shared" si="3"/>
        <v>56.41</v>
      </c>
      <c r="K6">
        <f t="shared" si="3"/>
        <v>61.54</v>
      </c>
      <c r="L6">
        <f t="shared" si="3"/>
        <v>56.41</v>
      </c>
      <c r="M6">
        <f t="shared" si="3"/>
        <v>58.97</v>
      </c>
      <c r="N6">
        <f t="shared" si="3"/>
        <v>58.97</v>
      </c>
      <c r="O6">
        <f t="shared" si="3"/>
        <v>61.54</v>
      </c>
      <c r="P6">
        <f t="shared" si="3"/>
        <v>58.97</v>
      </c>
      <c r="R6">
        <f t="shared" si="3"/>
        <v>64.099999999999994</v>
      </c>
    </row>
  </sheetData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D02713-28A1-4DF6-B838-C31D905F51CA}">
  <dimension ref="A1:R2"/>
  <sheetViews>
    <sheetView topLeftCell="K1" workbookViewId="0">
      <selection activeCell="Q3" sqref="Q3"/>
    </sheetView>
  </sheetViews>
  <sheetFormatPr baseColWidth="10" defaultRowHeight="14.4" x14ac:dyDescent="0.3"/>
  <sheetData>
    <row r="1" spans="1:18" x14ac:dyDescent="0.3"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9</v>
      </c>
      <c r="R1" s="1" t="s">
        <v>21</v>
      </c>
    </row>
    <row r="2" spans="1:18" x14ac:dyDescent="0.3">
      <c r="A2" s="1" t="s">
        <v>17</v>
      </c>
      <c r="B2">
        <v>44.44</v>
      </c>
      <c r="C2">
        <v>41.67</v>
      </c>
      <c r="D2">
        <v>36.11</v>
      </c>
      <c r="E2">
        <v>22.22</v>
      </c>
      <c r="F2">
        <v>50</v>
      </c>
      <c r="G2">
        <v>50</v>
      </c>
      <c r="H2">
        <v>47.22</v>
      </c>
      <c r="I2">
        <v>44.44</v>
      </c>
      <c r="J2">
        <v>47.22</v>
      </c>
      <c r="K2">
        <v>50</v>
      </c>
      <c r="L2">
        <v>50</v>
      </c>
      <c r="M2">
        <v>47.22</v>
      </c>
      <c r="N2">
        <v>44.44</v>
      </c>
      <c r="O2">
        <v>47.22</v>
      </c>
      <c r="P2">
        <v>47.22</v>
      </c>
      <c r="Q2">
        <f>ROUND(AVERAGE(B2:P2),2)</f>
        <v>44.63</v>
      </c>
      <c r="R2">
        <f>MAX(B2:P2)</f>
        <v>50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A4695F-ECA6-4B0F-9B70-1693F1FC3830}">
  <dimension ref="A1:R6"/>
  <sheetViews>
    <sheetView topLeftCell="K1" workbookViewId="0">
      <selection activeCell="Q11" sqref="Q11"/>
    </sheetView>
  </sheetViews>
  <sheetFormatPr baseColWidth="10" defaultRowHeight="14.4" x14ac:dyDescent="0.3"/>
  <sheetData>
    <row r="1" spans="1:18" x14ac:dyDescent="0.3"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9</v>
      </c>
      <c r="R1" s="1" t="s">
        <v>21</v>
      </c>
    </row>
    <row r="2" spans="1:18" x14ac:dyDescent="0.3">
      <c r="A2" s="1" t="s">
        <v>16</v>
      </c>
      <c r="B2">
        <v>36.11</v>
      </c>
      <c r="C2">
        <v>47.22</v>
      </c>
      <c r="D2">
        <v>52.78</v>
      </c>
      <c r="E2">
        <v>33.33</v>
      </c>
      <c r="F2">
        <v>38.89</v>
      </c>
      <c r="G2">
        <v>66.67</v>
      </c>
      <c r="H2">
        <v>66.67</v>
      </c>
      <c r="I2">
        <v>63.89</v>
      </c>
      <c r="J2">
        <v>66.67</v>
      </c>
      <c r="K2">
        <v>61.11</v>
      </c>
      <c r="L2">
        <v>66.67</v>
      </c>
      <c r="M2">
        <v>63.89</v>
      </c>
      <c r="N2">
        <v>61.11</v>
      </c>
      <c r="O2">
        <v>61.11</v>
      </c>
      <c r="P2">
        <v>63.89</v>
      </c>
      <c r="Q2">
        <f>ROUND(AVERAGE(B2:P2),2)</f>
        <v>56.67</v>
      </c>
      <c r="R2">
        <f>MAX(B2:P2)</f>
        <v>66.67</v>
      </c>
    </row>
    <row r="3" spans="1:18" x14ac:dyDescent="0.3">
      <c r="A3" s="1" t="s">
        <v>19</v>
      </c>
      <c r="B3">
        <v>38.89</v>
      </c>
      <c r="C3">
        <v>47.22</v>
      </c>
      <c r="D3">
        <v>52.78</v>
      </c>
      <c r="E3">
        <v>41.67</v>
      </c>
      <c r="F3">
        <v>55.56</v>
      </c>
      <c r="G3">
        <v>61.11</v>
      </c>
      <c r="H3">
        <v>63.89</v>
      </c>
      <c r="I3">
        <v>61.11</v>
      </c>
      <c r="J3">
        <v>63.89</v>
      </c>
      <c r="K3">
        <v>63.89</v>
      </c>
      <c r="L3">
        <v>63.89</v>
      </c>
      <c r="M3">
        <v>63.89</v>
      </c>
      <c r="N3">
        <v>63.89</v>
      </c>
      <c r="O3">
        <v>61.11</v>
      </c>
      <c r="P3">
        <v>66.67</v>
      </c>
      <c r="Q3">
        <f t="shared" ref="Q3:Q5" si="0">ROUND(AVERAGE(B3:P3),2)</f>
        <v>57.96</v>
      </c>
      <c r="R3">
        <f t="shared" ref="R3:R5" si="1">MAX(B3:P3)</f>
        <v>66.67</v>
      </c>
    </row>
    <row r="4" spans="1:18" x14ac:dyDescent="0.3">
      <c r="A4" s="1" t="s">
        <v>20</v>
      </c>
      <c r="B4">
        <v>33.33</v>
      </c>
      <c r="C4">
        <v>44.44</v>
      </c>
      <c r="D4">
        <v>47.22</v>
      </c>
      <c r="E4">
        <v>50</v>
      </c>
      <c r="F4">
        <v>47.22</v>
      </c>
      <c r="G4">
        <v>50</v>
      </c>
      <c r="H4">
        <v>58.33</v>
      </c>
      <c r="I4">
        <v>61.11</v>
      </c>
      <c r="J4">
        <v>55.56</v>
      </c>
      <c r="K4">
        <v>55.56</v>
      </c>
      <c r="L4">
        <v>61.11</v>
      </c>
      <c r="M4">
        <v>61.11</v>
      </c>
      <c r="N4">
        <v>61.11</v>
      </c>
      <c r="O4">
        <v>58.33</v>
      </c>
      <c r="P4">
        <v>58.33</v>
      </c>
      <c r="Q4">
        <f t="shared" si="0"/>
        <v>53.52</v>
      </c>
      <c r="R4">
        <f t="shared" si="1"/>
        <v>61.11</v>
      </c>
    </row>
    <row r="5" spans="1:18" x14ac:dyDescent="0.3">
      <c r="A5" s="1" t="s">
        <v>9</v>
      </c>
      <c r="B5">
        <f>ROUND(AVERAGE(B2:B4),2)</f>
        <v>36.11</v>
      </c>
      <c r="C5">
        <f t="shared" ref="C5:P5" si="2">ROUND(AVERAGE(C2:C4),2)</f>
        <v>46.29</v>
      </c>
      <c r="D5">
        <f t="shared" si="2"/>
        <v>50.93</v>
      </c>
      <c r="E5">
        <f t="shared" si="2"/>
        <v>41.67</v>
      </c>
      <c r="F5">
        <f t="shared" si="2"/>
        <v>47.22</v>
      </c>
      <c r="G5">
        <f t="shared" si="2"/>
        <v>59.26</v>
      </c>
      <c r="H5">
        <f t="shared" si="2"/>
        <v>62.96</v>
      </c>
      <c r="I5">
        <f t="shared" si="2"/>
        <v>62.04</v>
      </c>
      <c r="J5">
        <f t="shared" si="2"/>
        <v>62.04</v>
      </c>
      <c r="K5">
        <f t="shared" si="2"/>
        <v>60.19</v>
      </c>
      <c r="L5">
        <f t="shared" si="2"/>
        <v>63.89</v>
      </c>
      <c r="M5">
        <f t="shared" si="2"/>
        <v>62.96</v>
      </c>
      <c r="N5">
        <f t="shared" si="2"/>
        <v>62.04</v>
      </c>
      <c r="O5">
        <f t="shared" si="2"/>
        <v>60.18</v>
      </c>
      <c r="P5">
        <f t="shared" si="2"/>
        <v>62.96</v>
      </c>
      <c r="Q5">
        <f t="shared" si="0"/>
        <v>56.05</v>
      </c>
    </row>
    <row r="6" spans="1:18" x14ac:dyDescent="0.3">
      <c r="A6" s="1" t="s">
        <v>21</v>
      </c>
      <c r="B6">
        <f>MAX(B2:B4)</f>
        <v>38.89</v>
      </c>
      <c r="C6">
        <f t="shared" ref="C6:R6" si="3">MAX(C2:C4)</f>
        <v>47.22</v>
      </c>
      <c r="D6">
        <f t="shared" si="3"/>
        <v>52.78</v>
      </c>
      <c r="E6">
        <f t="shared" si="3"/>
        <v>50</v>
      </c>
      <c r="F6">
        <f t="shared" si="3"/>
        <v>55.56</v>
      </c>
      <c r="G6">
        <f t="shared" si="3"/>
        <v>66.67</v>
      </c>
      <c r="H6">
        <f t="shared" si="3"/>
        <v>66.67</v>
      </c>
      <c r="I6">
        <f t="shared" si="3"/>
        <v>63.89</v>
      </c>
      <c r="J6">
        <f t="shared" si="3"/>
        <v>66.67</v>
      </c>
      <c r="K6">
        <f t="shared" si="3"/>
        <v>63.89</v>
      </c>
      <c r="L6">
        <f t="shared" si="3"/>
        <v>66.67</v>
      </c>
      <c r="M6">
        <f t="shared" si="3"/>
        <v>63.89</v>
      </c>
      <c r="N6">
        <f t="shared" si="3"/>
        <v>63.89</v>
      </c>
      <c r="O6">
        <f t="shared" si="3"/>
        <v>61.11</v>
      </c>
      <c r="P6">
        <f t="shared" si="3"/>
        <v>66.67</v>
      </c>
      <c r="R6">
        <f t="shared" si="3"/>
        <v>66.67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5F3E16-33CA-4493-A22A-84DE66D2210A}">
  <dimension ref="A1:H6"/>
  <sheetViews>
    <sheetView workbookViewId="0">
      <selection activeCell="G10" sqref="G10"/>
    </sheetView>
  </sheetViews>
  <sheetFormatPr baseColWidth="10" defaultRowHeight="14.4" x14ac:dyDescent="0.3"/>
  <sheetData>
    <row r="1" spans="1:8" x14ac:dyDescent="0.3"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9</v>
      </c>
      <c r="H1" s="1" t="s">
        <v>21</v>
      </c>
    </row>
    <row r="2" spans="1:8" x14ac:dyDescent="0.3">
      <c r="A2" s="1" t="s">
        <v>16</v>
      </c>
      <c r="B2">
        <v>44.44</v>
      </c>
      <c r="C2">
        <v>52.78</v>
      </c>
      <c r="D2">
        <v>55.56</v>
      </c>
      <c r="E2">
        <v>41.67</v>
      </c>
      <c r="F2">
        <v>36.11</v>
      </c>
      <c r="G2">
        <f>ROUND(AVERAGE(B2:F2),2)</f>
        <v>46.11</v>
      </c>
      <c r="H2">
        <f>MAX(B2:F2)</f>
        <v>55.56</v>
      </c>
    </row>
    <row r="3" spans="1:8" x14ac:dyDescent="0.3">
      <c r="A3" s="1" t="s">
        <v>19</v>
      </c>
      <c r="B3">
        <v>47.22</v>
      </c>
      <c r="C3">
        <v>44.44</v>
      </c>
      <c r="D3">
        <v>58.33</v>
      </c>
      <c r="E3">
        <v>44.44</v>
      </c>
      <c r="F3">
        <v>44.44</v>
      </c>
      <c r="G3">
        <f t="shared" ref="G3:G5" si="0">ROUND(AVERAGE(B3:F3),2)</f>
        <v>47.77</v>
      </c>
      <c r="H3">
        <f t="shared" ref="H3:H5" si="1">MAX(B3:F3)</f>
        <v>58.33</v>
      </c>
    </row>
    <row r="4" spans="1:8" x14ac:dyDescent="0.3">
      <c r="A4" s="1" t="s">
        <v>20</v>
      </c>
      <c r="B4">
        <v>44.44</v>
      </c>
      <c r="C4">
        <v>50</v>
      </c>
      <c r="D4">
        <v>52.78</v>
      </c>
      <c r="E4">
        <v>50</v>
      </c>
      <c r="F4">
        <v>41.67</v>
      </c>
      <c r="G4">
        <f t="shared" si="0"/>
        <v>47.78</v>
      </c>
      <c r="H4">
        <f t="shared" si="1"/>
        <v>52.78</v>
      </c>
    </row>
    <row r="5" spans="1:8" x14ac:dyDescent="0.3">
      <c r="A5" s="1" t="s">
        <v>9</v>
      </c>
      <c r="B5">
        <f>ROUND(AVERAGE(B2:B4),2)</f>
        <v>45.37</v>
      </c>
      <c r="C5">
        <f t="shared" ref="C5:F5" si="2">ROUND(AVERAGE(C2:C4),2)</f>
        <v>49.07</v>
      </c>
      <c r="D5">
        <f t="shared" si="2"/>
        <v>55.56</v>
      </c>
      <c r="E5">
        <f t="shared" si="2"/>
        <v>45.37</v>
      </c>
      <c r="F5">
        <f t="shared" si="2"/>
        <v>40.74</v>
      </c>
      <c r="G5">
        <f t="shared" si="0"/>
        <v>47.22</v>
      </c>
    </row>
    <row r="6" spans="1:8" x14ac:dyDescent="0.3">
      <c r="A6" s="1" t="s">
        <v>21</v>
      </c>
      <c r="B6">
        <f>MAX(B2:B4)</f>
        <v>47.22</v>
      </c>
      <c r="C6">
        <f t="shared" ref="C6:G6" si="3">MAX(C2:C4)</f>
        <v>52.78</v>
      </c>
      <c r="D6">
        <f t="shared" si="3"/>
        <v>58.33</v>
      </c>
      <c r="E6">
        <f t="shared" si="3"/>
        <v>50</v>
      </c>
      <c r="F6">
        <f t="shared" si="3"/>
        <v>44.44</v>
      </c>
      <c r="H6">
        <f>MAX(H2:H4)</f>
        <v>58.33</v>
      </c>
    </row>
  </sheetData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E69D5B-E062-4923-BA01-C3629E79E42D}">
  <dimension ref="A1:J2"/>
  <sheetViews>
    <sheetView topLeftCell="C1" workbookViewId="0">
      <selection activeCell="I3" sqref="I3"/>
    </sheetView>
  </sheetViews>
  <sheetFormatPr baseColWidth="10" defaultRowHeight="14.4" x14ac:dyDescent="0.3"/>
  <sheetData>
    <row r="1" spans="1:10" x14ac:dyDescent="0.3"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9</v>
      </c>
      <c r="J1" s="1" t="s">
        <v>21</v>
      </c>
    </row>
    <row r="2" spans="1:10" x14ac:dyDescent="0.3">
      <c r="A2" s="1" t="s">
        <v>18</v>
      </c>
      <c r="B2">
        <v>58.33</v>
      </c>
      <c r="C2">
        <v>47.22</v>
      </c>
      <c r="D2">
        <v>50</v>
      </c>
      <c r="E2">
        <v>58.33</v>
      </c>
      <c r="F2">
        <v>55.56</v>
      </c>
      <c r="G2">
        <v>47.22</v>
      </c>
      <c r="H2">
        <v>38.89</v>
      </c>
      <c r="I2">
        <f>ROUND(AVERAGE(B2:H2),2)</f>
        <v>50.79</v>
      </c>
      <c r="J2">
        <f>MAX(B2:H2)</f>
        <v>58.33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F18911-2F9D-4012-85FF-79B127B5D0DC}">
  <dimension ref="A1:R2"/>
  <sheetViews>
    <sheetView topLeftCell="K1" workbookViewId="0">
      <selection activeCell="Q3" sqref="Q3"/>
    </sheetView>
  </sheetViews>
  <sheetFormatPr baseColWidth="10" defaultRowHeight="14.4" x14ac:dyDescent="0.3"/>
  <sheetData>
    <row r="1" spans="1:18" x14ac:dyDescent="0.3"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9</v>
      </c>
      <c r="R1" s="1" t="s">
        <v>21</v>
      </c>
    </row>
    <row r="2" spans="1:18" x14ac:dyDescent="0.3">
      <c r="A2" s="1" t="s">
        <v>18</v>
      </c>
      <c r="B2">
        <v>58.33</v>
      </c>
      <c r="C2">
        <v>44.44</v>
      </c>
      <c r="D2">
        <v>44.44</v>
      </c>
      <c r="E2">
        <v>41.67</v>
      </c>
      <c r="F2">
        <v>44.44</v>
      </c>
      <c r="G2">
        <v>44.44</v>
      </c>
      <c r="H2">
        <v>52.78</v>
      </c>
      <c r="I2">
        <v>52.78</v>
      </c>
      <c r="J2">
        <v>47.22</v>
      </c>
      <c r="K2">
        <v>55.56</v>
      </c>
      <c r="L2">
        <v>52.78</v>
      </c>
      <c r="M2">
        <v>52.78</v>
      </c>
      <c r="N2">
        <v>55.56</v>
      </c>
      <c r="O2">
        <v>55.56</v>
      </c>
      <c r="P2">
        <v>55.56</v>
      </c>
      <c r="Q2">
        <f>ROUND(AVERAGE(B2:P2),2)</f>
        <v>50.56</v>
      </c>
      <c r="R2">
        <f>MAX(B2:P2)</f>
        <v>58.33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F9E360-C2BC-40BD-B8A2-5A4BF0402E5A}">
  <dimension ref="A1:R6"/>
  <sheetViews>
    <sheetView topLeftCell="L1" workbookViewId="0">
      <selection activeCell="R12" sqref="R12"/>
    </sheetView>
  </sheetViews>
  <sheetFormatPr baseColWidth="10" defaultRowHeight="14.4" x14ac:dyDescent="0.3"/>
  <sheetData>
    <row r="1" spans="1:18" x14ac:dyDescent="0.3"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9</v>
      </c>
      <c r="R1" s="1" t="s">
        <v>21</v>
      </c>
    </row>
    <row r="2" spans="1:18" x14ac:dyDescent="0.3">
      <c r="A2" s="1" t="s">
        <v>16</v>
      </c>
      <c r="B2">
        <v>46.67</v>
      </c>
      <c r="C2">
        <v>43.33</v>
      </c>
      <c r="D2">
        <v>43.33</v>
      </c>
      <c r="E2">
        <v>56.67</v>
      </c>
      <c r="F2">
        <v>60</v>
      </c>
      <c r="G2">
        <v>60</v>
      </c>
      <c r="H2">
        <v>53.33</v>
      </c>
      <c r="I2">
        <v>60</v>
      </c>
      <c r="J2">
        <v>56.67</v>
      </c>
      <c r="K2">
        <v>63.33</v>
      </c>
      <c r="L2">
        <v>66.67</v>
      </c>
      <c r="M2">
        <v>66.67</v>
      </c>
      <c r="N2">
        <v>70</v>
      </c>
      <c r="O2">
        <v>66.67</v>
      </c>
      <c r="P2">
        <v>66.67</v>
      </c>
      <c r="Q2">
        <f>ROUND(AVERAGE(B2:P2),2)</f>
        <v>58.67</v>
      </c>
      <c r="R2">
        <f>MAX(B2:P2)</f>
        <v>70</v>
      </c>
    </row>
    <row r="3" spans="1:18" x14ac:dyDescent="0.3">
      <c r="A3" s="1" t="s">
        <v>19</v>
      </c>
      <c r="B3">
        <v>50</v>
      </c>
      <c r="C3">
        <v>43.33</v>
      </c>
      <c r="D3">
        <v>40</v>
      </c>
      <c r="E3">
        <v>50</v>
      </c>
      <c r="F3">
        <v>56.67</v>
      </c>
      <c r="G3">
        <v>63.33</v>
      </c>
      <c r="H3">
        <v>50</v>
      </c>
      <c r="I3">
        <v>53.33</v>
      </c>
      <c r="J3">
        <v>60</v>
      </c>
      <c r="K3">
        <v>60</v>
      </c>
      <c r="L3">
        <v>60</v>
      </c>
      <c r="M3">
        <v>60</v>
      </c>
      <c r="N3">
        <v>60</v>
      </c>
      <c r="O3">
        <v>60</v>
      </c>
      <c r="P3">
        <v>60</v>
      </c>
      <c r="Q3">
        <f t="shared" ref="Q3:Q5" si="0">ROUND(AVERAGE(B3:P3),2)</f>
        <v>55.11</v>
      </c>
      <c r="R3">
        <f t="shared" ref="R3:R5" si="1">MAX(B3:P3)</f>
        <v>63.33</v>
      </c>
    </row>
    <row r="4" spans="1:18" x14ac:dyDescent="0.3">
      <c r="A4" s="1" t="s">
        <v>20</v>
      </c>
      <c r="B4">
        <v>46.67</v>
      </c>
      <c r="C4">
        <v>50</v>
      </c>
      <c r="D4">
        <v>43.33</v>
      </c>
      <c r="E4">
        <v>53.33</v>
      </c>
      <c r="F4">
        <v>50</v>
      </c>
      <c r="G4">
        <v>56.67</v>
      </c>
      <c r="H4">
        <v>53.33</v>
      </c>
      <c r="I4">
        <v>50</v>
      </c>
      <c r="J4">
        <v>46.67</v>
      </c>
      <c r="K4">
        <v>46.67</v>
      </c>
      <c r="L4">
        <v>50</v>
      </c>
      <c r="M4">
        <v>50</v>
      </c>
      <c r="N4">
        <v>50</v>
      </c>
      <c r="O4">
        <v>50</v>
      </c>
      <c r="P4">
        <v>46.67</v>
      </c>
      <c r="Q4">
        <f t="shared" si="0"/>
        <v>49.56</v>
      </c>
      <c r="R4">
        <f t="shared" si="1"/>
        <v>56.67</v>
      </c>
    </row>
    <row r="5" spans="1:18" x14ac:dyDescent="0.3">
      <c r="A5" s="1" t="s">
        <v>9</v>
      </c>
      <c r="B5">
        <f>ROUND(AVERAGE(B2:B4),2)</f>
        <v>47.78</v>
      </c>
      <c r="C5">
        <f t="shared" ref="C5:P5" si="2">ROUND(AVERAGE(C2:C4),2)</f>
        <v>45.55</v>
      </c>
      <c r="D5">
        <f t="shared" si="2"/>
        <v>42.22</v>
      </c>
      <c r="E5">
        <f t="shared" si="2"/>
        <v>53.33</v>
      </c>
      <c r="F5">
        <f t="shared" si="2"/>
        <v>55.56</v>
      </c>
      <c r="G5">
        <f t="shared" si="2"/>
        <v>60</v>
      </c>
      <c r="H5">
        <f t="shared" si="2"/>
        <v>52.22</v>
      </c>
      <c r="I5">
        <f t="shared" si="2"/>
        <v>54.44</v>
      </c>
      <c r="J5">
        <f t="shared" si="2"/>
        <v>54.45</v>
      </c>
      <c r="K5">
        <f t="shared" si="2"/>
        <v>56.67</v>
      </c>
      <c r="L5">
        <f t="shared" si="2"/>
        <v>58.89</v>
      </c>
      <c r="M5">
        <f t="shared" si="2"/>
        <v>58.89</v>
      </c>
      <c r="N5">
        <f t="shared" si="2"/>
        <v>60</v>
      </c>
      <c r="O5">
        <f t="shared" si="2"/>
        <v>58.89</v>
      </c>
      <c r="P5">
        <f t="shared" si="2"/>
        <v>57.78</v>
      </c>
      <c r="Q5">
        <f t="shared" si="0"/>
        <v>54.44</v>
      </c>
    </row>
    <row r="6" spans="1:18" x14ac:dyDescent="0.3">
      <c r="A6" s="1" t="s">
        <v>21</v>
      </c>
      <c r="B6">
        <f>MAX(B2:B4)</f>
        <v>50</v>
      </c>
      <c r="C6">
        <f t="shared" ref="C6:R6" si="3">MAX(C2:C4)</f>
        <v>50</v>
      </c>
      <c r="D6">
        <f t="shared" si="3"/>
        <v>43.33</v>
      </c>
      <c r="E6">
        <f t="shared" si="3"/>
        <v>56.67</v>
      </c>
      <c r="F6">
        <f t="shared" si="3"/>
        <v>60</v>
      </c>
      <c r="G6">
        <f t="shared" si="3"/>
        <v>63.33</v>
      </c>
      <c r="H6">
        <f t="shared" si="3"/>
        <v>53.33</v>
      </c>
      <c r="I6">
        <f t="shared" si="3"/>
        <v>60</v>
      </c>
      <c r="J6">
        <f t="shared" si="3"/>
        <v>60</v>
      </c>
      <c r="K6">
        <f t="shared" si="3"/>
        <v>63.33</v>
      </c>
      <c r="L6">
        <f t="shared" si="3"/>
        <v>66.67</v>
      </c>
      <c r="M6">
        <f t="shared" si="3"/>
        <v>66.67</v>
      </c>
      <c r="N6">
        <f t="shared" si="3"/>
        <v>70</v>
      </c>
      <c r="O6">
        <f t="shared" si="3"/>
        <v>66.67</v>
      </c>
      <c r="P6">
        <f t="shared" si="3"/>
        <v>66.67</v>
      </c>
      <c r="R6">
        <f t="shared" si="3"/>
        <v>70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F51D7-453A-4B73-9A05-A773BB179CAC}">
  <dimension ref="A1:K2"/>
  <sheetViews>
    <sheetView tabSelected="1" workbookViewId="0">
      <selection activeCell="J3" sqref="J3"/>
    </sheetView>
  </sheetViews>
  <sheetFormatPr baseColWidth="10" defaultRowHeight="14.4" x14ac:dyDescent="0.3"/>
  <sheetData>
    <row r="1" spans="1:11" x14ac:dyDescent="0.3"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9</v>
      </c>
      <c r="K1" s="1" t="s">
        <v>21</v>
      </c>
    </row>
    <row r="2" spans="1:11" x14ac:dyDescent="0.3">
      <c r="A2" s="1" t="s">
        <v>18</v>
      </c>
      <c r="B2">
        <v>63.33</v>
      </c>
      <c r="C2">
        <v>46.67</v>
      </c>
      <c r="D2">
        <v>53.33</v>
      </c>
      <c r="E2">
        <v>50</v>
      </c>
      <c r="F2">
        <v>56.67</v>
      </c>
      <c r="G2">
        <v>60</v>
      </c>
      <c r="H2">
        <v>56.67</v>
      </c>
      <c r="I2">
        <v>60</v>
      </c>
      <c r="J2">
        <f>ROUND(AVERAGE(B2:I2),2)</f>
        <v>55.83</v>
      </c>
      <c r="K2">
        <f>MAX(B2:I2)</f>
        <v>63.33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10</vt:i4>
      </vt:variant>
    </vt:vector>
  </HeadingPairs>
  <TitlesOfParts>
    <vt:vector size="10" baseType="lpstr">
      <vt:lpstr>Group_01</vt:lpstr>
      <vt:lpstr>Group_02</vt:lpstr>
      <vt:lpstr>Group_03</vt:lpstr>
      <vt:lpstr>Group_04</vt:lpstr>
      <vt:lpstr>Group_05</vt:lpstr>
      <vt:lpstr>Group_06</vt:lpstr>
      <vt:lpstr>Group_07</vt:lpstr>
      <vt:lpstr>Group_8</vt:lpstr>
      <vt:lpstr>Group_09</vt:lpstr>
      <vt:lpstr>Group_10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Ángel De La Nava Navarro</dc:creator>
  <cp:lastModifiedBy>Ángel De La Nava Navarro</cp:lastModifiedBy>
  <dcterms:created xsi:type="dcterms:W3CDTF">2026-05-28T09:18:40Z</dcterms:created>
  <dcterms:modified xsi:type="dcterms:W3CDTF">2026-05-28T11:04:50Z</dcterms:modified>
</cp:coreProperties>
</file>